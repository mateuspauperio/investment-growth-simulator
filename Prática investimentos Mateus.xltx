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teuspauperio/Downloads/"/>
    </mc:Choice>
  </mc:AlternateContent>
  <xr:revisionPtr revIDLastSave="0" documentId="8_{4F7FB74F-6201-DB49-A6B5-B65FCD6DAB6F}" xr6:coauthVersionLast="47" xr6:coauthVersionMax="47" xr10:uidLastSave="{00000000-0000-0000-0000-000000000000}"/>
  <bookViews>
    <workbookView xWindow="0" yWindow="500" windowWidth="28800" windowHeight="15980" xr2:uid="{25FC7511-96C1-5E45-8CE7-D438B9679DF3}"/>
  </bookViews>
  <sheets>
    <sheet name="Planilha1" sheetId="1" r:id="rId1"/>
    <sheet name="Planilha2" sheetId="2" r:id="rId2"/>
  </sheets>
  <definedNames>
    <definedName name="aporte">Planilha1!$D$17</definedName>
    <definedName name="patrimonio">Planilha1!$D$20</definedName>
    <definedName name="qtd_anos">Planilha1!$D$18</definedName>
    <definedName name="rendimento_carteira">Planilha1!$D$13</definedName>
    <definedName name="taxa_mensal">Planilha1!$D$19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0" i="2" l="1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B28" i="1" s="1"/>
  <c r="C28" i="1" s="1"/>
  <c r="B18" i="1"/>
  <c r="C18" i="1" s="1"/>
  <c r="B19" i="1"/>
  <c r="C19" i="1" s="1"/>
  <c r="B20" i="1"/>
  <c r="C20" i="1" s="1"/>
  <c r="B21" i="1"/>
  <c r="C21" i="1" s="1"/>
  <c r="B17" i="1"/>
  <c r="C17" i="1" s="1"/>
  <c r="C13" i="1"/>
  <c r="C14" i="1" s="1"/>
  <c r="C7" i="1"/>
  <c r="B31" i="1" l="1"/>
  <c r="C31" i="1" s="1"/>
  <c r="H4" i="2"/>
  <c r="B30" i="1"/>
  <c r="C30" i="1" s="1"/>
  <c r="B27" i="1"/>
  <c r="C27" i="1" s="1"/>
  <c r="C33" i="1" s="1"/>
  <c r="B29" i="1"/>
  <c r="C29" i="1" s="1"/>
  <c r="B32" i="1"/>
  <c r="C32" i="1" s="1"/>
</calcChain>
</file>

<file path=xl/sharedStrings.xml><?xml version="1.0" encoding="utf-8"?>
<sst xmlns="http://schemas.openxmlformats.org/spreadsheetml/2006/main" count="72" uniqueCount="35">
  <si>
    <t>INVESTIMENTOS MATEUS</t>
  </si>
  <si>
    <t>CONFIGURAÇÕES</t>
  </si>
  <si>
    <t>Salário</t>
  </si>
  <si>
    <t>Rendimento Carteira</t>
  </si>
  <si>
    <t>Sugestão de Investimento (30%)</t>
  </si>
  <si>
    <t>INVESTIMENTO MENSAL</t>
  </si>
  <si>
    <t>Quanto investir por mês ?</t>
  </si>
  <si>
    <t>Por Quantos Anos ?</t>
  </si>
  <si>
    <t>Taxa de Rendimento mensal ?</t>
  </si>
  <si>
    <t>Patrimônio acumulado ?</t>
  </si>
  <si>
    <t>Dividendos Mensais ?</t>
  </si>
  <si>
    <t xml:space="preserve"> Cenários</t>
  </si>
  <si>
    <t>Dividendo</t>
  </si>
  <si>
    <t>Quanto em 2 Anos ?</t>
  </si>
  <si>
    <t>Quanto em 5 Anos ?</t>
  </si>
  <si>
    <t>Quanto em 10 Anos ?</t>
  </si>
  <si>
    <t>Quanto em 20 Anos ?</t>
  </si>
  <si>
    <t>Quanto em 30 Anos ?</t>
  </si>
  <si>
    <t>PERFIL</t>
  </si>
  <si>
    <t>Moderado</t>
  </si>
  <si>
    <t>VALOR A SER INVESTIDO POR MÊS</t>
  </si>
  <si>
    <t>TIPO DE FII</t>
  </si>
  <si>
    <t>Percentual Sugerido</t>
  </si>
  <si>
    <t>Valores</t>
  </si>
  <si>
    <t>PAPEL</t>
  </si>
  <si>
    <t>TIJOLO</t>
  </si>
  <si>
    <t>HÍBRIDOS</t>
  </si>
  <si>
    <t>FOFs</t>
  </si>
  <si>
    <t>DESENVOLVIMENTO</t>
  </si>
  <si>
    <t>HOTELARIAS</t>
  </si>
  <si>
    <t>CHAVE</t>
  </si>
  <si>
    <t>%</t>
  </si>
  <si>
    <t>Conservador</t>
  </si>
  <si>
    <t>Moderado-TIJOLO</t>
  </si>
  <si>
    <t>Agressivo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</si>
</sst>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1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8"/>
      <color theme="0"/>
      <name val="Segoe UI Semibold"/>
      <family val="2"/>
    </font>
    <font>
      <sz val="11"/>
      <color theme="1"/>
      <name val="Segoe UI Semibold"/>
      <family val="2"/>
    </font>
    <font>
      <sz val="12"/>
      <color theme="1"/>
      <name val="Segoe UI"/>
      <family val="2"/>
    </font>
    <font>
      <sz val="11"/>
      <color theme="1"/>
      <name val="Segoe UI"/>
      <family val="2"/>
    </font>
    <font>
      <sz val="26"/>
      <color theme="0"/>
      <name val="Calibri (Corpo)"/>
    </font>
    <font>
      <b/>
      <sz val="20"/>
      <color theme="0"/>
      <name val="Segoe UI Semibold"/>
      <family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b/>
      <sz val="12"/>
      <color theme="0"/>
      <name val="Segoe UI Semibold"/>
      <family val="2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/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thick">
        <color theme="4"/>
      </left>
      <right/>
      <top/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/>
    </xf>
    <xf numFmtId="0" fontId="4" fillId="4" borderId="1" xfId="0" applyFont="1" applyFill="1" applyBorder="1" applyAlignment="1">
      <alignment horizontal="right" vertical="center"/>
    </xf>
    <xf numFmtId="0" fontId="5" fillId="4" borderId="2" xfId="0" applyFont="1" applyFill="1" applyBorder="1" applyAlignment="1">
      <alignment horizontal="right"/>
    </xf>
    <xf numFmtId="0" fontId="4" fillId="4" borderId="3" xfId="0" applyFont="1" applyFill="1" applyBorder="1" applyAlignment="1">
      <alignment horizontal="right" vertical="center"/>
    </xf>
    <xf numFmtId="164" fontId="7" fillId="0" borderId="6" xfId="1" applyNumberFormat="1" applyFont="1" applyBorder="1" applyAlignment="1">
      <alignment horizontal="center"/>
    </xf>
    <xf numFmtId="10" fontId="7" fillId="0" borderId="9" xfId="0" applyNumberFormat="1" applyFont="1" applyBorder="1" applyAlignment="1">
      <alignment horizontal="center"/>
    </xf>
    <xf numFmtId="164" fontId="7" fillId="5" borderId="12" xfId="0" applyNumberFormat="1" applyFont="1" applyFill="1" applyBorder="1" applyAlignment="1">
      <alignment horizontal="center"/>
    </xf>
    <xf numFmtId="164" fontId="10" fillId="0" borderId="6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0" fontId="10" fillId="0" borderId="9" xfId="0" applyNumberFormat="1" applyFont="1" applyBorder="1" applyAlignment="1">
      <alignment horizontal="center"/>
    </xf>
    <xf numFmtId="8" fontId="10" fillId="7" borderId="9" xfId="0" applyNumberFormat="1" applyFont="1" applyFill="1" applyBorder="1" applyAlignment="1">
      <alignment horizontal="center"/>
    </xf>
    <xf numFmtId="8" fontId="10" fillId="7" borderId="12" xfId="0" applyNumberFormat="1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 vertical="center"/>
    </xf>
    <xf numFmtId="0" fontId="6" fillId="7" borderId="13" xfId="0" applyFont="1" applyFill="1" applyBorder="1" applyAlignment="1">
      <alignment horizontal="left" indent="3"/>
    </xf>
    <xf numFmtId="164" fontId="7" fillId="7" borderId="14" xfId="0" applyNumberFormat="1" applyFont="1" applyFill="1" applyBorder="1" applyAlignment="1">
      <alignment horizontal="center"/>
    </xf>
    <xf numFmtId="164" fontId="7" fillId="7" borderId="15" xfId="0" applyNumberFormat="1" applyFont="1" applyFill="1" applyBorder="1" applyAlignment="1">
      <alignment horizontal="center"/>
    </xf>
    <xf numFmtId="0" fontId="6" fillId="7" borderId="16" xfId="0" applyFont="1" applyFill="1" applyBorder="1" applyAlignment="1">
      <alignment horizontal="left" indent="3"/>
    </xf>
    <xf numFmtId="0" fontId="6" fillId="7" borderId="17" xfId="0" applyFont="1" applyFill="1" applyBorder="1" applyAlignment="1">
      <alignment horizontal="left" indent="3"/>
    </xf>
    <xf numFmtId="0" fontId="3" fillId="0" borderId="0" xfId="0" applyFont="1"/>
    <xf numFmtId="0" fontId="2" fillId="2" borderId="0" xfId="3"/>
    <xf numFmtId="0" fontId="2" fillId="2" borderId="0" xfId="3" applyAlignment="1">
      <alignment horizontal="center"/>
    </xf>
    <xf numFmtId="0" fontId="14" fillId="5" borderId="0" xfId="0" applyFont="1" applyFill="1"/>
    <xf numFmtId="164" fontId="14" fillId="5" borderId="0" xfId="1" applyNumberFormat="1" applyFont="1" applyFill="1" applyAlignment="1">
      <alignment horizontal="center"/>
    </xf>
    <xf numFmtId="0" fontId="14" fillId="8" borderId="0" xfId="0" applyFont="1" applyFill="1" applyAlignment="1">
      <alignment horizontal="center"/>
    </xf>
    <xf numFmtId="9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0" fontId="14" fillId="8" borderId="0" xfId="0" applyFont="1" applyFill="1"/>
    <xf numFmtId="164" fontId="14" fillId="8" borderId="0" xfId="0" applyNumberFormat="1" applyFont="1" applyFill="1" applyAlignment="1">
      <alignment horizontal="center"/>
    </xf>
    <xf numFmtId="0" fontId="15" fillId="9" borderId="0" xfId="0" applyFont="1" applyFill="1"/>
    <xf numFmtId="0" fontId="15" fillId="9" borderId="0" xfId="0" applyFont="1" applyFill="1" applyAlignment="1">
      <alignment horizontal="center"/>
    </xf>
    <xf numFmtId="9" fontId="13" fillId="2" borderId="0" xfId="2" applyFont="1" applyFill="1"/>
    <xf numFmtId="0" fontId="0" fillId="0" borderId="19" xfId="0" applyBorder="1"/>
    <xf numFmtId="0" fontId="0" fillId="0" borderId="19" xfId="0" applyBorder="1" applyAlignment="1">
      <alignment horizontal="center"/>
    </xf>
    <xf numFmtId="9" fontId="0" fillId="0" borderId="19" xfId="0" applyNumberFormat="1" applyBorder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9" fontId="0" fillId="10" borderId="0" xfId="0" applyNumberFormat="1" applyFill="1" applyAlignment="1">
      <alignment horizontal="center"/>
    </xf>
    <xf numFmtId="0" fontId="9" fillId="6" borderId="1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49" fontId="8" fillId="3" borderId="18" xfId="4" applyNumberFormat="1" applyFont="1" applyBorder="1" applyAlignment="1">
      <alignment horizontal="center" vertical="center"/>
    </xf>
    <xf numFmtId="49" fontId="8" fillId="3" borderId="0" xfId="4" applyNumberFormat="1" applyFont="1" applyBorder="1" applyAlignment="1">
      <alignment horizontal="center" vertical="center"/>
    </xf>
    <xf numFmtId="0" fontId="6" fillId="5" borderId="4" xfId="0" applyFont="1" applyFill="1" applyBorder="1" applyAlignment="1">
      <alignment horizontal="left" indent="3"/>
    </xf>
    <xf numFmtId="0" fontId="6" fillId="5" borderId="5" xfId="0" applyFont="1" applyFill="1" applyBorder="1" applyAlignment="1">
      <alignment horizontal="left" indent="3"/>
    </xf>
    <xf numFmtId="0" fontId="6" fillId="5" borderId="7" xfId="0" applyFont="1" applyFill="1" applyBorder="1" applyAlignment="1">
      <alignment horizontal="left" indent="3"/>
    </xf>
    <xf numFmtId="0" fontId="6" fillId="5" borderId="8" xfId="0" applyFont="1" applyFill="1" applyBorder="1" applyAlignment="1">
      <alignment horizontal="left" indent="3"/>
    </xf>
    <xf numFmtId="0" fontId="6" fillId="5" borderId="10" xfId="0" applyFont="1" applyFill="1" applyBorder="1" applyAlignment="1">
      <alignment horizontal="left" indent="3"/>
    </xf>
    <xf numFmtId="0" fontId="6" fillId="5" borderId="11" xfId="0" applyFont="1" applyFill="1" applyBorder="1" applyAlignment="1">
      <alignment horizontal="left" indent="3"/>
    </xf>
    <xf numFmtId="0" fontId="9" fillId="6" borderId="3" xfId="0" applyFont="1" applyFill="1" applyBorder="1" applyAlignment="1">
      <alignment horizontal="center" vertical="center"/>
    </xf>
    <xf numFmtId="0" fontId="11" fillId="7" borderId="7" xfId="0" applyFont="1" applyFill="1" applyBorder="1" applyAlignment="1">
      <alignment horizontal="left" indent="3"/>
    </xf>
    <xf numFmtId="0" fontId="11" fillId="7" borderId="8" xfId="0" applyFont="1" applyFill="1" applyBorder="1" applyAlignment="1">
      <alignment horizontal="left" indent="3"/>
    </xf>
    <xf numFmtId="0" fontId="11" fillId="7" borderId="10" xfId="0" applyFont="1" applyFill="1" applyBorder="1" applyAlignment="1">
      <alignment horizontal="left" indent="3"/>
    </xf>
    <xf numFmtId="0" fontId="11" fillId="7" borderId="11" xfId="0" applyFont="1" applyFill="1" applyBorder="1" applyAlignment="1">
      <alignment horizontal="left" indent="3"/>
    </xf>
  </cellXfs>
  <cellStyles count="5">
    <cellStyle name="Ênfase1" xfId="4" builtinId="29"/>
    <cellStyle name="Moeda" xfId="1" builtinId="4"/>
    <cellStyle name="Neutro" xfId="3" builtinId="28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F36FF-CE03-EC4C-8F33-82E847F55517}">
  <dimension ref="A2:D33"/>
  <sheetViews>
    <sheetView tabSelected="1" zoomScale="109" zoomScaleNormal="109" workbookViewId="0">
      <selection activeCell="A2" sqref="A2:D33"/>
    </sheetView>
  </sheetViews>
  <sheetFormatPr baseColWidth="10" defaultRowHeight="16" x14ac:dyDescent="0.2"/>
  <cols>
    <col min="1" max="1" width="48" customWidth="1"/>
    <col min="2" max="2" width="21.83203125" bestFit="1" customWidth="1"/>
    <col min="3" max="3" width="21.1640625" bestFit="1" customWidth="1"/>
  </cols>
  <sheetData>
    <row r="2" spans="1:4" ht="34" x14ac:dyDescent="0.2">
      <c r="A2" s="40" t="s">
        <v>0</v>
      </c>
      <c r="B2" s="41"/>
      <c r="C2" s="41"/>
      <c r="D2" s="41"/>
    </row>
    <row r="3" spans="1:4" ht="17" customHeight="1" thickBot="1" x14ac:dyDescent="0.25"/>
    <row r="4" spans="1:4" ht="26" x14ac:dyDescent="0.25">
      <c r="A4" s="2" t="s">
        <v>1</v>
      </c>
      <c r="B4" s="3"/>
      <c r="C4" s="4"/>
    </row>
    <row r="5" spans="1:4" ht="17" x14ac:dyDescent="0.25">
      <c r="A5" s="42" t="s">
        <v>2</v>
      </c>
      <c r="B5" s="43"/>
      <c r="C5" s="5">
        <v>500</v>
      </c>
    </row>
    <row r="6" spans="1:4" ht="17" x14ac:dyDescent="0.25">
      <c r="A6" s="44" t="s">
        <v>3</v>
      </c>
      <c r="B6" s="45"/>
      <c r="C6" s="6">
        <v>6.0000000000000001E-3</v>
      </c>
    </row>
    <row r="7" spans="1:4" ht="18" thickBot="1" x14ac:dyDescent="0.3">
      <c r="A7" s="46" t="s">
        <v>4</v>
      </c>
      <c r="B7" s="47"/>
      <c r="C7" s="7">
        <f>C5*30%</f>
        <v>150</v>
      </c>
    </row>
    <row r="8" spans="1:4" ht="17" thickBot="1" x14ac:dyDescent="0.25"/>
    <row r="9" spans="1:4" ht="28" x14ac:dyDescent="0.2">
      <c r="A9" s="38" t="s">
        <v>5</v>
      </c>
      <c r="B9" s="39"/>
      <c r="C9" s="48"/>
    </row>
    <row r="10" spans="1:4" ht="17" x14ac:dyDescent="0.25">
      <c r="A10" s="42" t="s">
        <v>6</v>
      </c>
      <c r="B10" s="43"/>
      <c r="C10" s="8">
        <v>150</v>
      </c>
    </row>
    <row r="11" spans="1:4" ht="17" x14ac:dyDescent="0.25">
      <c r="A11" s="44" t="s">
        <v>7</v>
      </c>
      <c r="B11" s="45"/>
      <c r="C11" s="9">
        <v>30</v>
      </c>
    </row>
    <row r="12" spans="1:4" ht="17" x14ac:dyDescent="0.25">
      <c r="A12" s="44" t="s">
        <v>8</v>
      </c>
      <c r="B12" s="45"/>
      <c r="C12" s="10">
        <v>1.15E-2</v>
      </c>
    </row>
    <row r="13" spans="1:4" ht="17" x14ac:dyDescent="0.25">
      <c r="A13" s="49" t="s">
        <v>9</v>
      </c>
      <c r="B13" s="50"/>
      <c r="C13" s="11">
        <f>FV(C12,C11*12,C10*-1)</f>
        <v>786998.5038789541</v>
      </c>
    </row>
    <row r="14" spans="1:4" ht="18" thickBot="1" x14ac:dyDescent="0.3">
      <c r="A14" s="51" t="s">
        <v>10</v>
      </c>
      <c r="B14" s="52"/>
      <c r="C14" s="12">
        <f>C13*C6</f>
        <v>4721.9910232737247</v>
      </c>
    </row>
    <row r="15" spans="1:4" ht="17" thickBot="1" x14ac:dyDescent="0.25"/>
    <row r="16" spans="1:4" ht="28" x14ac:dyDescent="0.2">
      <c r="A16" s="38" t="s">
        <v>11</v>
      </c>
      <c r="B16" s="39"/>
      <c r="C16" s="13" t="s">
        <v>12</v>
      </c>
    </row>
    <row r="17" spans="1:4" ht="17" x14ac:dyDescent="0.25">
      <c r="A17" s="14" t="s">
        <v>13</v>
      </c>
      <c r="B17" s="15">
        <f>FV($C$12,$D17*12,$C$10*-1)</f>
        <v>4118.790916194027</v>
      </c>
      <c r="C17" s="16">
        <f>B17*C$6</f>
        <v>24.712745497164164</v>
      </c>
      <c r="D17" s="19">
        <v>2</v>
      </c>
    </row>
    <row r="18" spans="1:4" ht="17" x14ac:dyDescent="0.25">
      <c r="A18" s="17" t="s">
        <v>14</v>
      </c>
      <c r="B18" s="15">
        <f t="shared" ref="B18:B21" si="0">FV($C$12,$D18*12,$C$10*-1)</f>
        <v>12859.31773187701</v>
      </c>
      <c r="C18" s="16">
        <f t="shared" ref="C18:C21" si="1">B18*C$6</f>
        <v>77.155906391262064</v>
      </c>
      <c r="D18" s="19">
        <v>5</v>
      </c>
    </row>
    <row r="19" spans="1:4" ht="17" x14ac:dyDescent="0.25">
      <c r="A19" s="17" t="s">
        <v>15</v>
      </c>
      <c r="B19" s="15">
        <f t="shared" si="0"/>
        <v>38396.392824338785</v>
      </c>
      <c r="C19" s="16">
        <f t="shared" si="1"/>
        <v>230.37835694603271</v>
      </c>
      <c r="D19" s="19">
        <v>10</v>
      </c>
    </row>
    <row r="20" spans="1:4" ht="17" x14ac:dyDescent="0.25">
      <c r="A20" s="17" t="s">
        <v>16</v>
      </c>
      <c r="B20" s="15">
        <f t="shared" si="0"/>
        <v>189821.14759594927</v>
      </c>
      <c r="C20" s="16">
        <f t="shared" si="1"/>
        <v>1138.9268855756957</v>
      </c>
      <c r="D20" s="19">
        <v>20</v>
      </c>
    </row>
    <row r="21" spans="1:4" ht="18" thickBot="1" x14ac:dyDescent="0.3">
      <c r="A21" s="18" t="s">
        <v>17</v>
      </c>
      <c r="B21" s="15">
        <f t="shared" si="0"/>
        <v>786998.5038789541</v>
      </c>
      <c r="C21" s="16">
        <f t="shared" si="1"/>
        <v>4721.9910232737247</v>
      </c>
      <c r="D21" s="19">
        <v>30</v>
      </c>
    </row>
    <row r="23" spans="1:4" x14ac:dyDescent="0.2">
      <c r="A23" s="20" t="s">
        <v>18</v>
      </c>
      <c r="B23" s="21" t="s">
        <v>19</v>
      </c>
      <c r="C23" s="20"/>
    </row>
    <row r="24" spans="1:4" x14ac:dyDescent="0.2">
      <c r="A24" s="22" t="s">
        <v>20</v>
      </c>
      <c r="B24" s="23">
        <v>150</v>
      </c>
      <c r="C24" s="22"/>
    </row>
    <row r="26" spans="1:4" x14ac:dyDescent="0.2">
      <c r="A26" s="24" t="s">
        <v>21</v>
      </c>
      <c r="B26" s="24" t="s">
        <v>22</v>
      </c>
      <c r="C26" s="24" t="s">
        <v>23</v>
      </c>
    </row>
    <row r="27" spans="1:4" x14ac:dyDescent="0.2">
      <c r="A27" s="1" t="s">
        <v>24</v>
      </c>
      <c r="B27" s="25">
        <f>VLOOKUP($B$23&amp;"-"&amp;A27,Planilha2!$A:$D,4,FALSE)</f>
        <v>0.32</v>
      </c>
      <c r="C27" s="26">
        <f>B27*$B$24</f>
        <v>48</v>
      </c>
    </row>
    <row r="28" spans="1:4" x14ac:dyDescent="0.2">
      <c r="A28" s="1" t="s">
        <v>25</v>
      </c>
      <c r="B28" s="25">
        <f>VLOOKUP($B$23&amp;"-"&amp;A28,Planilha2!$A:$D,4,FALSE)</f>
        <v>0.35</v>
      </c>
      <c r="C28" s="26">
        <f t="shared" ref="C28:C32" si="2">B28*$B$24</f>
        <v>52.5</v>
      </c>
    </row>
    <row r="29" spans="1:4" x14ac:dyDescent="0.2">
      <c r="A29" s="1" t="s">
        <v>26</v>
      </c>
      <c r="B29" s="25">
        <f>VLOOKUP($B$23&amp;"-"&amp;A29,Planilha2!$A:$D,4,FALSE)</f>
        <v>0.08</v>
      </c>
      <c r="C29" s="26">
        <f t="shared" si="2"/>
        <v>12</v>
      </c>
    </row>
    <row r="30" spans="1:4" x14ac:dyDescent="0.2">
      <c r="A30" s="1" t="s">
        <v>27</v>
      </c>
      <c r="B30" s="25">
        <f>VLOOKUP($B$23&amp;"-"&amp;A30,Planilha2!$A:$D,4,FALSE)</f>
        <v>0.05</v>
      </c>
      <c r="C30" s="26">
        <f t="shared" si="2"/>
        <v>7.5</v>
      </c>
    </row>
    <row r="31" spans="1:4" x14ac:dyDescent="0.2">
      <c r="A31" s="1" t="s">
        <v>28</v>
      </c>
      <c r="B31" s="25">
        <f>VLOOKUP($B$23&amp;"-"&amp;A31,Planilha2!$A:$D,4,FALSE)</f>
        <v>0.1</v>
      </c>
      <c r="C31" s="26">
        <f t="shared" si="2"/>
        <v>15</v>
      </c>
    </row>
    <row r="32" spans="1:4" x14ac:dyDescent="0.2">
      <c r="A32" s="1" t="s">
        <v>29</v>
      </c>
      <c r="B32" s="25">
        <f>VLOOKUP($B$23&amp;"-"&amp;A32,Planilha2!$A:$D,4,FALSE)</f>
        <v>0.1</v>
      </c>
      <c r="C32" s="26">
        <f t="shared" si="2"/>
        <v>15</v>
      </c>
    </row>
    <row r="33" spans="1:3" x14ac:dyDescent="0.2">
      <c r="A33" s="27"/>
      <c r="B33" s="27"/>
      <c r="C33" s="28">
        <f>SUM(C27:C32)</f>
        <v>150</v>
      </c>
    </row>
  </sheetData>
  <mergeCells count="11">
    <mergeCell ref="A16:B16"/>
    <mergeCell ref="A2:D2"/>
    <mergeCell ref="A5:B5"/>
    <mergeCell ref="A6:B6"/>
    <mergeCell ref="A7:B7"/>
    <mergeCell ref="A9:C9"/>
    <mergeCell ref="A10:B10"/>
    <mergeCell ref="A11:B11"/>
    <mergeCell ref="A12:B12"/>
    <mergeCell ref="A13:B13"/>
    <mergeCell ref="A14:B14"/>
  </mergeCells>
  <dataValidations count="1">
    <dataValidation type="list" allowBlank="1" showInputMessage="1" showErrorMessage="1" sqref="B23" xr:uid="{569D4F12-8C7A-544F-B4AF-8B6C60B0C453}">
      <formula1>"Conservador, Moderado, Agressivo"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9D1D4-EFD6-9F4F-8987-EBDDB7E40F92}">
  <dimension ref="A2:H20"/>
  <sheetViews>
    <sheetView workbookViewId="0">
      <selection activeCell="H4" sqref="H4"/>
    </sheetView>
  </sheetViews>
  <sheetFormatPr baseColWidth="10" defaultRowHeight="16" x14ac:dyDescent="0.2"/>
  <cols>
    <col min="1" max="1" width="29.1640625" bestFit="1" customWidth="1"/>
    <col min="2" max="2" width="11.1640625" bestFit="1" customWidth="1"/>
    <col min="3" max="3" width="18.1640625" bestFit="1" customWidth="1"/>
    <col min="4" max="4" width="4.6640625" bestFit="1" customWidth="1"/>
    <col min="7" max="7" width="15.83203125" bestFit="1" customWidth="1"/>
    <col min="8" max="8" width="4.5" bestFit="1" customWidth="1"/>
  </cols>
  <sheetData>
    <row r="2" spans="1:8" x14ac:dyDescent="0.2">
      <c r="A2" s="29" t="s">
        <v>30</v>
      </c>
      <c r="B2" s="29" t="s">
        <v>18</v>
      </c>
      <c r="C2" s="30" t="s">
        <v>21</v>
      </c>
      <c r="D2" s="30" t="s">
        <v>31</v>
      </c>
    </row>
    <row r="3" spans="1:8" x14ac:dyDescent="0.2">
      <c r="A3" t="str">
        <f>B3&amp;"-"&amp;C3</f>
        <v>Conservador-PAPEL</v>
      </c>
      <c r="B3" t="s">
        <v>32</v>
      </c>
      <c r="C3" s="1" t="s">
        <v>24</v>
      </c>
      <c r="D3" s="25">
        <v>0.3</v>
      </c>
      <c r="H3" t="s">
        <v>31</v>
      </c>
    </row>
    <row r="4" spans="1:8" x14ac:dyDescent="0.2">
      <c r="A4" t="str">
        <f t="shared" ref="A4:A20" si="0">B4&amp;"-"&amp;C4</f>
        <v>Conservador-TIJOLO</v>
      </c>
      <c r="B4" t="s">
        <v>32</v>
      </c>
      <c r="C4" s="1" t="s">
        <v>25</v>
      </c>
      <c r="D4" s="25">
        <v>0.5</v>
      </c>
      <c r="G4" s="20" t="s">
        <v>33</v>
      </c>
      <c r="H4" s="31">
        <f>VLOOKUP(G4,$A:$D,4,FALSE)</f>
        <v>0.35</v>
      </c>
    </row>
    <row r="5" spans="1:8" x14ac:dyDescent="0.2">
      <c r="A5" t="str">
        <f t="shared" si="0"/>
        <v>Conservador-HÍBRIDOS</v>
      </c>
      <c r="B5" t="s">
        <v>32</v>
      </c>
      <c r="C5" s="1" t="s">
        <v>26</v>
      </c>
      <c r="D5" s="25">
        <v>0.1</v>
      </c>
    </row>
    <row r="6" spans="1:8" x14ac:dyDescent="0.2">
      <c r="A6" t="str">
        <f t="shared" si="0"/>
        <v>Conservador-FOFs</v>
      </c>
      <c r="B6" t="s">
        <v>32</v>
      </c>
      <c r="C6" s="1" t="s">
        <v>27</v>
      </c>
      <c r="D6" s="25">
        <v>0.1</v>
      </c>
    </row>
    <row r="7" spans="1:8" x14ac:dyDescent="0.2">
      <c r="A7" t="str">
        <f t="shared" si="0"/>
        <v>Conservador-DESENVOLVIMENTO</v>
      </c>
      <c r="B7" t="s">
        <v>32</v>
      </c>
      <c r="C7" s="1" t="s">
        <v>28</v>
      </c>
      <c r="D7" s="25">
        <v>0</v>
      </c>
    </row>
    <row r="8" spans="1:8" ht="17" thickBot="1" x14ac:dyDescent="0.25">
      <c r="A8" s="32" t="str">
        <f t="shared" si="0"/>
        <v>Conservador-HOTELARIAS</v>
      </c>
      <c r="B8" s="32" t="s">
        <v>32</v>
      </c>
      <c r="C8" s="33" t="s">
        <v>29</v>
      </c>
      <c r="D8" s="34">
        <v>0</v>
      </c>
    </row>
    <row r="9" spans="1:8" x14ac:dyDescent="0.2">
      <c r="A9" t="str">
        <f t="shared" si="0"/>
        <v>Moderado-PAPEL</v>
      </c>
      <c r="B9" t="s">
        <v>19</v>
      </c>
      <c r="C9" s="1" t="s">
        <v>24</v>
      </c>
      <c r="D9" s="25">
        <v>0.32</v>
      </c>
    </row>
    <row r="10" spans="1:8" x14ac:dyDescent="0.2">
      <c r="A10" s="35" t="str">
        <f t="shared" si="0"/>
        <v>Moderado-TIJOLO</v>
      </c>
      <c r="B10" s="35" t="s">
        <v>19</v>
      </c>
      <c r="C10" s="36" t="s">
        <v>25</v>
      </c>
      <c r="D10" s="37">
        <v>0.35</v>
      </c>
    </row>
    <row r="11" spans="1:8" x14ac:dyDescent="0.2">
      <c r="A11" t="str">
        <f t="shared" si="0"/>
        <v>Moderado-HÍBRIDOS</v>
      </c>
      <c r="B11" t="s">
        <v>19</v>
      </c>
      <c r="C11" s="1" t="s">
        <v>26</v>
      </c>
      <c r="D11" s="25">
        <v>0.08</v>
      </c>
    </row>
    <row r="12" spans="1:8" x14ac:dyDescent="0.2">
      <c r="A12" t="str">
        <f t="shared" si="0"/>
        <v>Moderado-FOFs</v>
      </c>
      <c r="B12" t="s">
        <v>19</v>
      </c>
      <c r="C12" s="1" t="s">
        <v>27</v>
      </c>
      <c r="D12" s="25">
        <v>0.05</v>
      </c>
    </row>
    <row r="13" spans="1:8" x14ac:dyDescent="0.2">
      <c r="A13" t="str">
        <f t="shared" si="0"/>
        <v>Moderado-DESENVOLVIMENTO</v>
      </c>
      <c r="B13" t="s">
        <v>19</v>
      </c>
      <c r="C13" s="1" t="s">
        <v>28</v>
      </c>
      <c r="D13" s="25">
        <v>0.1</v>
      </c>
    </row>
    <row r="14" spans="1:8" ht="17" thickBot="1" x14ac:dyDescent="0.25">
      <c r="A14" s="32" t="str">
        <f t="shared" si="0"/>
        <v>Moderado-HOTELARIAS</v>
      </c>
      <c r="B14" s="32" t="s">
        <v>19</v>
      </c>
      <c r="C14" s="33" t="s">
        <v>29</v>
      </c>
      <c r="D14" s="34">
        <v>0.1</v>
      </c>
    </row>
    <row r="15" spans="1:8" x14ac:dyDescent="0.2">
      <c r="A15" t="str">
        <f t="shared" si="0"/>
        <v>Agressivo-PAPEL</v>
      </c>
      <c r="B15" t="s">
        <v>34</v>
      </c>
      <c r="C15" s="1" t="s">
        <v>24</v>
      </c>
      <c r="D15" s="25">
        <v>0.5</v>
      </c>
    </row>
    <row r="16" spans="1:8" x14ac:dyDescent="0.2">
      <c r="A16" t="str">
        <f t="shared" si="0"/>
        <v>Agressivo-TIJOLO</v>
      </c>
      <c r="B16" t="s">
        <v>34</v>
      </c>
      <c r="C16" s="1" t="s">
        <v>25</v>
      </c>
      <c r="D16" s="25">
        <v>0.1</v>
      </c>
    </row>
    <row r="17" spans="1:4" x14ac:dyDescent="0.2">
      <c r="A17" t="str">
        <f t="shared" si="0"/>
        <v>Agressivo-HÍBRIDOS</v>
      </c>
      <c r="B17" t="s">
        <v>34</v>
      </c>
      <c r="C17" s="1" t="s">
        <v>26</v>
      </c>
      <c r="D17" s="25">
        <v>0.05</v>
      </c>
    </row>
    <row r="18" spans="1:4" x14ac:dyDescent="0.2">
      <c r="A18" t="str">
        <f t="shared" si="0"/>
        <v>Agressivo-FOFs</v>
      </c>
      <c r="B18" t="s">
        <v>34</v>
      </c>
      <c r="C18" s="1" t="s">
        <v>27</v>
      </c>
      <c r="D18" s="25">
        <v>0.05</v>
      </c>
    </row>
    <row r="19" spans="1:4" x14ac:dyDescent="0.2">
      <c r="A19" t="str">
        <f t="shared" si="0"/>
        <v>Agressivo-DESENVOLVIMENTO</v>
      </c>
      <c r="B19" t="s">
        <v>34</v>
      </c>
      <c r="C19" s="1" t="s">
        <v>28</v>
      </c>
      <c r="D19" s="25">
        <v>0.2</v>
      </c>
    </row>
    <row r="20" spans="1:4" x14ac:dyDescent="0.2">
      <c r="A20" t="str">
        <f t="shared" si="0"/>
        <v>Agressivo-HOTELARIAS</v>
      </c>
      <c r="B20" t="s">
        <v>34</v>
      </c>
      <c r="C20" s="1" t="s">
        <v>29</v>
      </c>
      <c r="D20" s="25">
        <v>0.1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Planilha1</vt:lpstr>
      <vt:lpstr>Planilha2</vt:lpstr>
      <vt:lpstr>aporte</vt:lpstr>
      <vt:lpstr>patrimonio</vt:lpstr>
      <vt:lpstr>qtd_anos</vt:lpstr>
      <vt:lpstr>rendimento_carteira</vt:lpstr>
      <vt:lpstr>taxa_mensal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mateus pauperio</cp:lastModifiedBy>
  <cp:lastPrinted>2025-12-23T20:13:08Z</cp:lastPrinted>
  <dcterms:created xsi:type="dcterms:W3CDTF">2025-12-23T19:20:27Z</dcterms:created>
  <dcterms:modified xsi:type="dcterms:W3CDTF">2025-12-23T20:24:53Z</dcterms:modified>
</cp:coreProperties>
</file>